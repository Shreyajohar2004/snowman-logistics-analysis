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shreyajohar/Downloads/snowman-logistics-analysis (1)/excel/"/>
    </mc:Choice>
  </mc:AlternateContent>
  <xr:revisionPtr revIDLastSave="0" documentId="8_{5A7683D9-C7FA-8E4A-94A2-EF9B70D0FE6D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Quarterly Data" sheetId="1" r:id="rId1"/>
    <sheet name="Growth Analysis" sheetId="2" r:id="rId2"/>
    <sheet name="Regression 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3" l="1"/>
  <c r="B15" i="3"/>
  <c r="B14" i="3"/>
  <c r="B13" i="3"/>
  <c r="B12" i="3"/>
  <c r="B11" i="3"/>
  <c r="B10" i="3"/>
  <c r="B9" i="3"/>
  <c r="B8" i="3"/>
  <c r="B7" i="3"/>
  <c r="B6" i="3"/>
  <c r="B5" i="3"/>
  <c r="E4" i="3" s="1"/>
  <c r="B4" i="3"/>
  <c r="E6" i="3" s="1"/>
  <c r="E14" i="2"/>
  <c r="C14" i="2"/>
  <c r="B14" i="2"/>
  <c r="D14" i="2" s="1"/>
  <c r="A14" i="2"/>
  <c r="E13" i="2"/>
  <c r="C13" i="2"/>
  <c r="B13" i="2"/>
  <c r="D13" i="2" s="1"/>
  <c r="A13" i="2"/>
  <c r="E12" i="2"/>
  <c r="C12" i="2"/>
  <c r="B12" i="2"/>
  <c r="D12" i="2" s="1"/>
  <c r="A12" i="2"/>
  <c r="E11" i="2"/>
  <c r="C11" i="2"/>
  <c r="B11" i="2"/>
  <c r="D11" i="2" s="1"/>
  <c r="A11" i="2"/>
  <c r="E10" i="2"/>
  <c r="C10" i="2"/>
  <c r="B10" i="2"/>
  <c r="D10" i="2" s="1"/>
  <c r="A10" i="2"/>
  <c r="E9" i="2"/>
  <c r="C9" i="2"/>
  <c r="B9" i="2"/>
  <c r="D9" i="2" s="1"/>
  <c r="A9" i="2"/>
  <c r="E8" i="2"/>
  <c r="C8" i="2"/>
  <c r="B8" i="2"/>
  <c r="D8" i="2" s="1"/>
  <c r="A8" i="2"/>
  <c r="E7" i="2"/>
  <c r="C7" i="2"/>
  <c r="B7" i="2"/>
  <c r="D7" i="2" s="1"/>
  <c r="A7" i="2"/>
  <c r="E6" i="2"/>
  <c r="C6" i="2"/>
  <c r="B6" i="2"/>
  <c r="D6" i="2" s="1"/>
  <c r="A6" i="2"/>
  <c r="E5" i="2"/>
  <c r="B5" i="2"/>
  <c r="C5" i="2" s="1"/>
  <c r="A5" i="2"/>
  <c r="E4" i="2"/>
  <c r="B4" i="2"/>
  <c r="A4" i="2"/>
  <c r="E3" i="2"/>
  <c r="B3" i="2"/>
  <c r="C3" i="2" s="1"/>
  <c r="A3" i="2"/>
  <c r="E2" i="2"/>
  <c r="B2" i="2"/>
  <c r="A2" i="2"/>
  <c r="E7" i="3" l="1"/>
  <c r="E8" i="3"/>
  <c r="C4" i="2"/>
  <c r="E5" i="3"/>
</calcChain>
</file>

<file path=xl/sharedStrings.xml><?xml version="1.0" encoding="utf-8"?>
<sst xmlns="http://schemas.openxmlformats.org/spreadsheetml/2006/main" count="41" uniqueCount="38">
  <si>
    <t>Quarter End</t>
  </si>
  <si>
    <t>Sales (Rs cr)</t>
  </si>
  <si>
    <t>Expenses (Rs cr)</t>
  </si>
  <si>
    <t>Op. Profit (Rs cr)</t>
  </si>
  <si>
    <t>OPM %</t>
  </si>
  <si>
    <t>Other Income (Rs cr)</t>
  </si>
  <si>
    <t>Interest (Rs cr)</t>
  </si>
  <si>
    <t>Depreciation (Rs cr)</t>
  </si>
  <si>
    <t>PBT (Rs cr)</t>
  </si>
  <si>
    <t>Tax %</t>
  </si>
  <si>
    <t>Net Profit (Rs cr)</t>
  </si>
  <si>
    <t>2023-06-30</t>
  </si>
  <si>
    <t>2023-09-30</t>
  </si>
  <si>
    <t>2023-12-31</t>
  </si>
  <si>
    <t>2024-03-31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</si>
  <si>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</si>
  <si>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</si>
  <si>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</si>
  <si>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</si>
  <si>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</si>
  <si>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</si>
  <si>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</si>
  <si>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</si>
  <si>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</si>
  <si>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Source: screener.in, aggregated from NSE filings (quarterly results)</t>
  </si>
  <si>
    <t>QoQ Growth %</t>
  </si>
  <si>
    <t>YoY Growth %</t>
  </si>
  <si>
    <t>Net Margin %</t>
  </si>
  <si>
    <t>Linear trend regression: Sales (Rs cr) ~ Quarter Index</t>
  </si>
  <si>
    <t>Quarter Index</t>
  </si>
  <si>
    <t>Metric</t>
  </si>
  <si>
    <t>Value</t>
  </si>
  <si>
    <t>Slope (Rs cr / quarter)</t>
  </si>
  <si>
    <t>Intercept (Rs cr)</t>
  </si>
  <si>
    <t>R-squared</t>
  </si>
  <si>
    <t>Correlation (r)</t>
  </si>
  <si>
    <t>Forecast, next quarter (idx 14)</t>
  </si>
  <si>
    <t>Note: matches the Python OLS regression in python/analysis.py (statsmodels) -- same slope, intercept and R-squared, computed independently here with Excel's built-in stats functions.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</si>
</sst>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\%"/>
    <numFmt numFmtId="165" formatCode="0.000"/>
  </numFmts>
  <fonts count="7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i/>
      <sz val="9"/>
      <color rgb="FF808080"/>
      <name val="Cambria"/>
      <charset val="1"/>
    </font>
    <font>
      <sz val="11"/>
      <color rgb="FF000000"/>
      <name val="Arial"/>
      <charset val="1"/>
    </font>
    <font>
      <b/>
      <sz val="12"/>
      <name val="Arial"/>
      <charset val="1"/>
    </font>
    <font>
      <i/>
      <sz val="9"/>
      <color rgb="FF80808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1" fillId="2" borderId="0" xfId="0" applyFont="1" applyFill="1"/>
    <xf numFmtId="0" fontId="2" fillId="0" borderId="0" xfId="0" applyFont="1"/>
    <xf numFmtId="4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4" fontId="4" fillId="0" borderId="0" xfId="0" applyNumberFormat="1" applyFont="1"/>
    <xf numFmtId="10" fontId="4" fillId="0" borderId="0" xfId="0" applyNumberFormat="1" applyFont="1"/>
    <xf numFmtId="0" fontId="5" fillId="0" borderId="0" xfId="0" applyFont="1"/>
    <xf numFmtId="0" fontId="1" fillId="0" borderId="0" xfId="0" applyFont="1"/>
    <xf numFmtId="165" fontId="4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Quarterly Sales (Rs crore)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'Growth Analysis'!$B$1</c:f>
              <c:strCache>
                <c:ptCount val="1"/>
                <c:pt idx="0">
                  <c:v>Sales (Rs cr)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'Growth Analysis'!$A$2:$A$14</c:f>
              <c:strCache>
                <c:ptCount val="13"/>
                <c:pt idx="0">
                  <c:v>2023-06-30</c:v>
                </c:pt>
                <c:pt idx="1">
                  <c:v>2023-09-30</c:v>
                </c:pt>
                <c:pt idx="2">
                  <c:v>2023-12-31</c:v>
                </c:pt>
                <c:pt idx="3">
                  <c:v>2024-03-31</c:v>
                </c:pt>
                <c:pt idx="4">
                  <c:v>2024-06-30</c:v>
                </c:pt>
                <c:pt idx="5">
                  <c:v>2024-09-30</c:v>
                </c:pt>
                <c:pt idx="6">
                  <c:v>2024-12-31</c:v>
                </c:pt>
                <c:pt idx="7">
                  <c:v>2025-03-31</c:v>
                </c:pt>
                <c:pt idx="8">
                  <c:v>2025-06-30</c:v>
                </c:pt>
                <c:pt idx="9">
                  <c:v>2025-09-30</c:v>
                </c:pt>
                <c:pt idx="10">
                  <c:v>2025-12-31</c:v>
                </c:pt>
                <c:pt idx="11">
                  <c:v>2026-03-31</c:v>
                </c:pt>
                <c:pt idx="12">
                  <c:v>2026-06-30</c:v>
                </c:pt>
              </c:strCache>
            </c:strRef>
          </c:cat>
          <c:val>
            <c:numRef>
              <c:f>'Growth Analysis'!$B$2:$B$14</c:f>
              <c:numCache>
                <c:formatCode>#,##0.00</c:formatCode>
                <c:ptCount val="13"/>
                <c:pt idx="0">
                  <c:v>128.77000000000001</c:v>
                </c:pt>
                <c:pt idx="1">
                  <c:v>124.02</c:v>
                </c:pt>
                <c:pt idx="2">
                  <c:v>124.05</c:v>
                </c:pt>
                <c:pt idx="3">
                  <c:v>126.54</c:v>
                </c:pt>
                <c:pt idx="4">
                  <c:v>140.22999999999999</c:v>
                </c:pt>
                <c:pt idx="5">
                  <c:v>143.44999999999999</c:v>
                </c:pt>
                <c:pt idx="6">
                  <c:v>131.85</c:v>
                </c:pt>
                <c:pt idx="7">
                  <c:v>137.01</c:v>
                </c:pt>
                <c:pt idx="8">
                  <c:v>162.69999999999999</c:v>
                </c:pt>
                <c:pt idx="9">
                  <c:v>155.65</c:v>
                </c:pt>
                <c:pt idx="10">
                  <c:v>143.72</c:v>
                </c:pt>
                <c:pt idx="11">
                  <c:v>142.31</c:v>
                </c:pt>
                <c:pt idx="12">
                  <c:v>177.68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8-5A43-9771-32DDFE307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535538"/>
        <c:axId val="85364044"/>
      </c:barChart>
      <c:catAx>
        <c:axId val="965355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364044"/>
        <c:crosses val="autoZero"/>
        <c:auto val="1"/>
        <c:lblAlgn val="ctr"/>
        <c:lblOffset val="100"/>
        <c:noMultiLvlLbl val="0"/>
      </c:catAx>
      <c:valAx>
        <c:axId val="853640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Rs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5355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trend with linear 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'Regression Summary'!$B$3</c:f>
              <c:strCache>
                <c:ptCount val="1"/>
                <c:pt idx="0">
                  <c:v>Sales (Rs cr)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'Regression Summary'!$A$4:$A$16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'Regression Summary'!$B$4:$B$16</c:f>
              <c:numCache>
                <c:formatCode>#,##0.00</c:formatCode>
                <c:ptCount val="13"/>
                <c:pt idx="0">
                  <c:v>128.77000000000001</c:v>
                </c:pt>
                <c:pt idx="1">
                  <c:v>124.02</c:v>
                </c:pt>
                <c:pt idx="2">
                  <c:v>124.05</c:v>
                </c:pt>
                <c:pt idx="3">
                  <c:v>126.54</c:v>
                </c:pt>
                <c:pt idx="4">
                  <c:v>140.22999999999999</c:v>
                </c:pt>
                <c:pt idx="5">
                  <c:v>143.44999999999999</c:v>
                </c:pt>
                <c:pt idx="6">
                  <c:v>131.85</c:v>
                </c:pt>
                <c:pt idx="7">
                  <c:v>137.01</c:v>
                </c:pt>
                <c:pt idx="8">
                  <c:v>162.69999999999999</c:v>
                </c:pt>
                <c:pt idx="9">
                  <c:v>155.65</c:v>
                </c:pt>
                <c:pt idx="10">
                  <c:v>143.72</c:v>
                </c:pt>
                <c:pt idx="11">
                  <c:v>142.31</c:v>
                </c:pt>
                <c:pt idx="12">
                  <c:v>177.68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96-DF4F-A7DF-DFAEA189B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8917691"/>
        <c:axId val="83476314"/>
      </c:lineChart>
      <c:catAx>
        <c:axId val="589176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Quarter 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476314"/>
        <c:crosses val="autoZero"/>
        <c:auto val="1"/>
        <c:lblAlgn val="ctr"/>
        <c:lblOffset val="100"/>
        <c:noMultiLvlLbl val="0"/>
      </c:catAx>
      <c:valAx>
        <c:axId val="834763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Rs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9176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16</xdr:col>
      <xdr:colOff>364320</xdr:colOff>
      <xdr:row>16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16</xdr:col>
      <xdr:colOff>364680</xdr:colOff>
      <xdr:row>17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Normal="100" workbookViewId="0">
      <pane ySplit="1" topLeftCell="A2" activePane="bottomLeft" state="frozen"/>
      <selection pane="bottomLeft" activeCell="B14" sqref="B14"/>
    </sheetView>
  </sheetViews>
  <sheetFormatPr baseColWidth="10" defaultColWidth="8.6640625" defaultRowHeight="15" x14ac:dyDescent="0.2"/>
  <cols>
    <col min="1" max="1" width="44.5" bestFit="1" customWidth="1"/>
    <col min="2" max="2" width="12.1640625" bestFit="1" customWidth="1"/>
    <col min="3" max="4" width="16" bestFit="1" customWidth="1"/>
    <col min="5" max="5" width="7.5" bestFit="1" customWidth="1"/>
    <col min="6" max="6" width="19.6640625" bestFit="1" customWidth="1"/>
    <col min="7" max="7" width="14.1640625" bestFit="1" customWidth="1"/>
    <col min="8" max="8" width="18.83203125" bestFit="1" customWidth="1"/>
    <col min="9" max="9" width="11.1640625" bestFit="1" customWidth="1"/>
    <col min="10" max="10" width="9" customWidth="1"/>
    <col min="11" max="11" width="15.83203125" bestFit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3" t="s">
        <v>11</v>
      </c>
      <c r="B2" s="4">
        <v>128.77000000000001</v>
      </c>
      <c r="C2" s="4">
        <v>104.55</v>
      </c>
      <c r="D2" s="4">
        <v>24.22</v>
      </c>
      <c r="E2" s="5">
        <v>18.809999999999999</v>
      </c>
      <c r="F2" s="4">
        <v>1.2</v>
      </c>
      <c r="G2" s="4">
        <v>5.6</v>
      </c>
      <c r="H2" s="4">
        <v>13.61</v>
      </c>
      <c r="I2" s="4">
        <v>6.21</v>
      </c>
      <c r="J2" s="5">
        <v>45.57</v>
      </c>
      <c r="K2" s="4">
        <v>3.38</v>
      </c>
    </row>
    <row r="3" spans="1:11" x14ac:dyDescent="0.2">
      <c r="A3" s="3" t="s">
        <v>12</v>
      </c>
      <c r="B3" s="4">
        <v>124.02</v>
      </c>
      <c r="C3" s="4">
        <v>100.01</v>
      </c>
      <c r="D3" s="4">
        <v>24.01</v>
      </c>
      <c r="E3" s="5">
        <v>19.36</v>
      </c>
      <c r="F3" s="4">
        <v>1.53</v>
      </c>
      <c r="G3" s="4">
        <v>6.05</v>
      </c>
      <c r="H3" s="4">
        <v>14.83</v>
      </c>
      <c r="I3" s="4">
        <v>4.66</v>
      </c>
      <c r="J3" s="5">
        <v>37.119999999999997</v>
      </c>
      <c r="K3" s="4">
        <v>2.93</v>
      </c>
    </row>
    <row r="4" spans="1:11" x14ac:dyDescent="0.2">
      <c r="A4" s="3" t="s">
        <v>13</v>
      </c>
      <c r="B4" s="4">
        <v>124.05</v>
      </c>
      <c r="C4" s="4">
        <v>97.72</v>
      </c>
      <c r="D4" s="4">
        <v>26.33</v>
      </c>
      <c r="E4" s="5">
        <v>21.23</v>
      </c>
      <c r="F4" s="4">
        <v>1.17</v>
      </c>
      <c r="G4" s="4">
        <v>5.86</v>
      </c>
      <c r="H4" s="4">
        <v>15.1</v>
      </c>
      <c r="I4" s="4">
        <v>6.54</v>
      </c>
      <c r="J4" s="5">
        <v>35.020000000000003</v>
      </c>
      <c r="K4" s="4">
        <v>4.25</v>
      </c>
    </row>
    <row r="5" spans="1:11" x14ac:dyDescent="0.2">
      <c r="A5" s="3" t="s">
        <v>14</v>
      </c>
      <c r="B5" s="4">
        <v>126.54</v>
      </c>
      <c r="C5" s="4">
        <v>99.54</v>
      </c>
      <c r="D5" s="4">
        <v>27</v>
      </c>
      <c r="E5" s="5">
        <v>21.34</v>
      </c>
      <c r="F5" s="4">
        <v>2.86</v>
      </c>
      <c r="G5" s="4">
        <v>6.29</v>
      </c>
      <c r="H5" s="4">
        <v>15.73</v>
      </c>
      <c r="I5" s="4">
        <v>7.84</v>
      </c>
      <c r="J5" s="5">
        <v>72.58</v>
      </c>
      <c r="K5" s="4">
        <v>2.15</v>
      </c>
    </row>
    <row r="6" spans="1:11" x14ac:dyDescent="0.2">
      <c r="A6" s="3" t="s">
        <v>15</v>
      </c>
      <c r="B6" s="4">
        <v>140.22999999999999</v>
      </c>
      <c r="C6" s="4">
        <v>116.79</v>
      </c>
      <c r="D6" s="4">
        <v>23.44</v>
      </c>
      <c r="E6" s="5">
        <v>16.72</v>
      </c>
      <c r="F6" s="4">
        <v>0.77</v>
      </c>
      <c r="G6" s="4">
        <v>5.98</v>
      </c>
      <c r="H6" s="4">
        <v>15.71</v>
      </c>
      <c r="I6" s="4">
        <v>2.52</v>
      </c>
      <c r="J6" s="5">
        <v>28.97</v>
      </c>
      <c r="K6" s="4">
        <v>1.79</v>
      </c>
    </row>
    <row r="7" spans="1:11" x14ac:dyDescent="0.2">
      <c r="A7" s="3" t="s">
        <v>16</v>
      </c>
      <c r="B7" s="4">
        <v>143.44999999999999</v>
      </c>
      <c r="C7" s="4">
        <v>121.42</v>
      </c>
      <c r="D7" s="4">
        <v>22.03</v>
      </c>
      <c r="E7" s="5">
        <v>15.36</v>
      </c>
      <c r="F7" s="4">
        <v>1.07</v>
      </c>
      <c r="G7" s="4">
        <v>6.33</v>
      </c>
      <c r="H7" s="4">
        <v>15.93</v>
      </c>
      <c r="I7" s="4">
        <v>0.84</v>
      </c>
      <c r="J7" s="5">
        <v>26.19</v>
      </c>
      <c r="K7" s="4">
        <v>0.61</v>
      </c>
    </row>
    <row r="8" spans="1:11" x14ac:dyDescent="0.2">
      <c r="A8" s="3" t="s">
        <v>17</v>
      </c>
      <c r="B8" s="4">
        <v>131.85</v>
      </c>
      <c r="C8" s="4">
        <v>112.09</v>
      </c>
      <c r="D8" s="4">
        <v>19.760000000000002</v>
      </c>
      <c r="E8" s="5">
        <v>14.99</v>
      </c>
      <c r="F8" s="4">
        <v>2.0699999999999998</v>
      </c>
      <c r="G8" s="4">
        <v>6.35</v>
      </c>
      <c r="H8" s="4">
        <v>16.09</v>
      </c>
      <c r="I8" s="4">
        <v>-0.61</v>
      </c>
      <c r="J8" s="5">
        <v>-1.64</v>
      </c>
      <c r="K8" s="4">
        <v>-0.61</v>
      </c>
    </row>
    <row r="9" spans="1:11" x14ac:dyDescent="0.2">
      <c r="A9" s="3" t="s">
        <v>18</v>
      </c>
      <c r="B9" s="4">
        <v>137.01</v>
      </c>
      <c r="C9" s="4">
        <v>112.96</v>
      </c>
      <c r="D9" s="4">
        <v>24.05</v>
      </c>
      <c r="E9" s="5">
        <v>17.55</v>
      </c>
      <c r="F9" s="4">
        <v>0.33</v>
      </c>
      <c r="G9" s="4">
        <v>5.78</v>
      </c>
      <c r="H9" s="4">
        <v>15.34</v>
      </c>
      <c r="I9" s="4">
        <v>3.26</v>
      </c>
      <c r="J9" s="5">
        <v>-19.940000000000001</v>
      </c>
      <c r="K9" s="4">
        <v>3.9</v>
      </c>
    </row>
    <row r="10" spans="1:11" x14ac:dyDescent="0.2">
      <c r="A10" s="3" t="s">
        <v>19</v>
      </c>
      <c r="B10" s="4">
        <v>162.69999999999999</v>
      </c>
      <c r="C10" s="4">
        <v>138.35</v>
      </c>
      <c r="D10" s="4">
        <v>24.35</v>
      </c>
      <c r="E10" s="5">
        <v>14.97</v>
      </c>
      <c r="F10" s="4">
        <v>0.74</v>
      </c>
      <c r="G10" s="4">
        <v>5.63</v>
      </c>
      <c r="H10" s="4">
        <v>15.51</v>
      </c>
      <c r="I10" s="4">
        <v>3.95</v>
      </c>
      <c r="J10" s="5">
        <v>35.44</v>
      </c>
      <c r="K10" s="4">
        <v>2.54</v>
      </c>
    </row>
    <row r="11" spans="1:11" x14ac:dyDescent="0.2">
      <c r="A11" s="3" t="s">
        <v>20</v>
      </c>
      <c r="B11" s="4">
        <v>155.65</v>
      </c>
      <c r="C11" s="4">
        <v>135.66</v>
      </c>
      <c r="D11" s="4">
        <v>19.989999999999998</v>
      </c>
      <c r="E11" s="5">
        <v>12.84</v>
      </c>
      <c r="F11" s="4">
        <v>0.56999999999999995</v>
      </c>
      <c r="G11" s="4">
        <v>7.41</v>
      </c>
      <c r="H11" s="4">
        <v>17.38</v>
      </c>
      <c r="I11" s="4">
        <v>-4.2300000000000004</v>
      </c>
      <c r="J11" s="5">
        <v>-30.97</v>
      </c>
      <c r="K11" s="4">
        <v>-2.91</v>
      </c>
    </row>
    <row r="12" spans="1:11" x14ac:dyDescent="0.2">
      <c r="A12" s="3" t="s">
        <v>21</v>
      </c>
      <c r="B12" s="4">
        <v>143.72</v>
      </c>
      <c r="C12" s="4">
        <v>120.94</v>
      </c>
      <c r="D12" s="4">
        <v>22.78</v>
      </c>
      <c r="E12" s="5">
        <v>15.85</v>
      </c>
      <c r="F12" s="4">
        <v>-1.48</v>
      </c>
      <c r="G12" s="4">
        <v>7.07</v>
      </c>
      <c r="H12" s="4">
        <v>17.420000000000002</v>
      </c>
      <c r="I12" s="4">
        <v>-3.19</v>
      </c>
      <c r="J12" s="5">
        <v>-41.38</v>
      </c>
      <c r="K12" s="4">
        <v>-1.87</v>
      </c>
    </row>
    <row r="13" spans="1:11" x14ac:dyDescent="0.2">
      <c r="A13" s="3" t="s">
        <v>22</v>
      </c>
      <c r="B13" s="4">
        <v>142.31</v>
      </c>
      <c r="C13" s="4">
        <v>118.52</v>
      </c>
      <c r="D13" s="4">
        <v>23.79</v>
      </c>
      <c r="E13" s="5">
        <v>16.72</v>
      </c>
      <c r="F13" s="4">
        <v>1.06</v>
      </c>
      <c r="G13" s="4">
        <v>6.65</v>
      </c>
      <c r="H13" s="4">
        <v>17.28</v>
      </c>
      <c r="I13" s="4">
        <v>0.92</v>
      </c>
      <c r="J13" s="5">
        <v>-502.17</v>
      </c>
      <c r="K13" s="4">
        <v>5.54</v>
      </c>
    </row>
    <row r="14" spans="1:11" x14ac:dyDescent="0.2">
      <c r="A14" s="3" t="s">
        <v>23</v>
      </c>
      <c r="B14" s="4">
        <v>177.68</v>
      </c>
      <c r="C14" s="4">
        <v>149.07</v>
      </c>
      <c r="D14" s="4">
        <v>28.61</v>
      </c>
      <c r="E14" s="5">
        <v>16.100000000000001</v>
      </c>
      <c r="F14" s="4">
        <v>2.3199999999999998</v>
      </c>
      <c r="G14" s="4">
        <v>6.52</v>
      </c>
      <c r="H14" s="4">
        <v>17.38</v>
      </c>
      <c r="I14" s="4">
        <v>7.03</v>
      </c>
      <c r="J14" s="5">
        <v>35.42</v>
      </c>
      <c r="K14" s="4">
        <v>4.55</v>
      </c>
    </row>
    <row r="16" spans="1:11" x14ac:dyDescent="0.2">
      <c r="A16" s="6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5" width="13" customWidth="1"/>
  </cols>
  <sheetData>
    <row r="1" spans="1:5" x14ac:dyDescent="0.2">
      <c r="A1" s="2" t="s">
        <v>0</v>
      </c>
      <c r="B1" s="2" t="s">
        <v>1</v>
      </c>
      <c r="C1" s="2" t="s">
        <v>25</v>
      </c>
      <c r="D1" s="2" t="s">
        <v>26</v>
      </c>
      <c r="E1" s="2" t="s">
        <v>27</v>
      </c>
    </row>
    <row r="2" spans="1:5" x14ac:dyDescent="0.2">
      <c r="A2" s="7" t="str">
        <f>'Quarterly Data'!A2</f>
        <v>2023-06-30</v>
      </c>
      <c r="B2" s="8">
        <f>'Quarterly Data'!B2</f>
        <v>128.77000000000001</v>
      </c>
      <c r="E2" s="9">
        <f>'Quarterly Data'!K2/'Quarterly Data'!B2</f>
        <v>2.6248349770909372E-2</v>
      </c>
    </row>
    <row r="3" spans="1:5" x14ac:dyDescent="0.2">
      <c r="A3" s="7" t="str">
        <f>'Quarterly Data'!A3</f>
        <v>2023-09-30</v>
      </c>
      <c r="B3" s="8">
        <f>'Quarterly Data'!B3</f>
        <v>124.02</v>
      </c>
      <c r="C3" s="9">
        <f t="shared" ref="C3:C14" si="0">IFERROR((B3-B2)/B2,"")</f>
        <v>-3.6887473790479255E-2</v>
      </c>
      <c r="E3" s="9">
        <f>'Quarterly Data'!K3/'Quarterly Data'!B3</f>
        <v>2.3625221738429288E-2</v>
      </c>
    </row>
    <row r="4" spans="1:5" x14ac:dyDescent="0.2">
      <c r="A4" s="7" t="str">
        <f>'Quarterly Data'!A4</f>
        <v>2023-12-31</v>
      </c>
      <c r="B4" s="8">
        <f>'Quarterly Data'!B4</f>
        <v>124.05</v>
      </c>
      <c r="C4" s="9">
        <f t="shared" si="0"/>
        <v>2.4189646831157183E-4</v>
      </c>
      <c r="E4" s="9">
        <f>'Quarterly Data'!K4/'Quarterly Data'!B4</f>
        <v>3.4260378879484077E-2</v>
      </c>
    </row>
    <row r="5" spans="1:5" x14ac:dyDescent="0.2">
      <c r="A5" s="7" t="str">
        <f>'Quarterly Data'!A5</f>
        <v>2024-03-31</v>
      </c>
      <c r="B5" s="8">
        <f>'Quarterly Data'!B5</f>
        <v>126.54</v>
      </c>
      <c r="C5" s="9">
        <f t="shared" si="0"/>
        <v>2.0072551390568395E-2</v>
      </c>
      <c r="E5" s="9">
        <f>'Quarterly Data'!K5/'Quarterly Data'!B5</f>
        <v>1.6990674885411727E-2</v>
      </c>
    </row>
    <row r="6" spans="1:5" x14ac:dyDescent="0.2">
      <c r="A6" s="7" t="str">
        <f>'Quarterly Data'!A6</f>
        <v>2024-06-30</v>
      </c>
      <c r="B6" s="8">
        <f>'Quarterly Data'!B6</f>
        <v>140.22999999999999</v>
      </c>
      <c r="C6" s="9">
        <f t="shared" si="0"/>
        <v>0.10818713450292385</v>
      </c>
      <c r="D6" s="9">
        <f t="shared" ref="D6:D14" si="1">IFERROR((B6-B2)/B2,"")</f>
        <v>8.8995884134503211E-2</v>
      </c>
      <c r="E6" s="9">
        <f>'Quarterly Data'!K6/'Quarterly Data'!B6</f>
        <v>1.2764743635456037E-2</v>
      </c>
    </row>
    <row r="7" spans="1:5" x14ac:dyDescent="0.2">
      <c r="A7" s="7" t="str">
        <f>'Quarterly Data'!A7</f>
        <v>2024-09-30</v>
      </c>
      <c r="B7" s="8">
        <f>'Quarterly Data'!B7</f>
        <v>143.44999999999999</v>
      </c>
      <c r="C7" s="9">
        <f t="shared" si="0"/>
        <v>2.2962276260429289E-2</v>
      </c>
      <c r="D7" s="9">
        <f t="shared" si="1"/>
        <v>0.15666827930978869</v>
      </c>
      <c r="E7" s="9">
        <f>'Quarterly Data'!K7/'Quarterly Data'!B7</f>
        <v>4.2523527361449983E-3</v>
      </c>
    </row>
    <row r="8" spans="1:5" x14ac:dyDescent="0.2">
      <c r="A8" s="7" t="str">
        <f>'Quarterly Data'!A8</f>
        <v>2024-12-31</v>
      </c>
      <c r="B8" s="8">
        <f>'Quarterly Data'!B8</f>
        <v>131.85</v>
      </c>
      <c r="C8" s="9">
        <f t="shared" si="0"/>
        <v>-8.0864412687347481E-2</v>
      </c>
      <c r="D8" s="9">
        <f t="shared" si="1"/>
        <v>6.2877871825876647E-2</v>
      </c>
      <c r="E8" s="9">
        <f>'Quarterly Data'!K8/'Quarterly Data'!B8</f>
        <v>-4.6264694728858548E-3</v>
      </c>
    </row>
    <row r="9" spans="1:5" x14ac:dyDescent="0.2">
      <c r="A9" s="7" t="str">
        <f>'Quarterly Data'!A9</f>
        <v>2025-03-31</v>
      </c>
      <c r="B9" s="8">
        <f>'Quarterly Data'!B9</f>
        <v>137.01</v>
      </c>
      <c r="C9" s="9">
        <f t="shared" si="0"/>
        <v>3.9135381114903278E-2</v>
      </c>
      <c r="D9" s="9">
        <f t="shared" si="1"/>
        <v>8.2740635372214197E-2</v>
      </c>
      <c r="E9" s="9">
        <f>'Quarterly Data'!K9/'Quarterly Data'!B9</f>
        <v>2.8465075541931246E-2</v>
      </c>
    </row>
    <row r="10" spans="1:5" x14ac:dyDescent="0.2">
      <c r="A10" s="7" t="str">
        <f>'Quarterly Data'!A10</f>
        <v>2025-06-30</v>
      </c>
      <c r="B10" s="8">
        <f>'Quarterly Data'!B10</f>
        <v>162.69999999999999</v>
      </c>
      <c r="C10" s="9">
        <f t="shared" si="0"/>
        <v>0.18750456171082402</v>
      </c>
      <c r="D10" s="9">
        <f t="shared" si="1"/>
        <v>0.16023675390430009</v>
      </c>
      <c r="E10" s="9">
        <f>'Quarterly Data'!K10/'Quarterly Data'!B10</f>
        <v>1.5611555009219423E-2</v>
      </c>
    </row>
    <row r="11" spans="1:5" x14ac:dyDescent="0.2">
      <c r="A11" s="7" t="str">
        <f>'Quarterly Data'!A11</f>
        <v>2025-09-30</v>
      </c>
      <c r="B11" s="8">
        <f>'Quarterly Data'!B11</f>
        <v>155.65</v>
      </c>
      <c r="C11" s="9">
        <f t="shared" si="0"/>
        <v>-4.3331284572833334E-2</v>
      </c>
      <c r="D11" s="9">
        <f t="shared" si="1"/>
        <v>8.5047054722900084E-2</v>
      </c>
      <c r="E11" s="9">
        <f>'Quarterly Data'!K11/'Quarterly Data'!B11</f>
        <v>-1.8695791840668167E-2</v>
      </c>
    </row>
    <row r="12" spans="1:5" x14ac:dyDescent="0.2">
      <c r="A12" s="7" t="str">
        <f>'Quarterly Data'!A12</f>
        <v>2025-12-31</v>
      </c>
      <c r="B12" s="8">
        <f>'Quarterly Data'!B12</f>
        <v>143.72</v>
      </c>
      <c r="C12" s="9">
        <f t="shared" si="0"/>
        <v>-7.6646321876003898E-2</v>
      </c>
      <c r="D12" s="9">
        <f t="shared" si="1"/>
        <v>9.0026545316647749E-2</v>
      </c>
      <c r="E12" s="9">
        <f>'Quarterly Data'!K12/'Quarterly Data'!B12</f>
        <v>-1.3011411077094351E-2</v>
      </c>
    </row>
    <row r="13" spans="1:5" x14ac:dyDescent="0.2">
      <c r="A13" s="7" t="str">
        <f>'Quarterly Data'!A13</f>
        <v>2026-03-31</v>
      </c>
      <c r="B13" s="8">
        <f>'Quarterly Data'!B13</f>
        <v>142.31</v>
      </c>
      <c r="C13" s="9">
        <f t="shared" si="0"/>
        <v>-9.8107431116058776E-3</v>
      </c>
      <c r="D13" s="9">
        <f t="shared" si="1"/>
        <v>3.8683307787752808E-2</v>
      </c>
      <c r="E13" s="9">
        <f>'Quarterly Data'!K13/'Quarterly Data'!B13</f>
        <v>3.892909844705221E-2</v>
      </c>
    </row>
    <row r="14" spans="1:5" x14ac:dyDescent="0.2">
      <c r="A14" s="7" t="str">
        <f>'Quarterly Data'!A14</f>
        <v>2026-06-30</v>
      </c>
      <c r="B14" s="8">
        <f>'Quarterly Data'!B14</f>
        <v>177.68</v>
      </c>
      <c r="C14" s="9">
        <f t="shared" si="0"/>
        <v>0.24854191553650484</v>
      </c>
      <c r="D14" s="9">
        <f t="shared" si="1"/>
        <v>9.2071296865396557E-2</v>
      </c>
      <c r="E14" s="9">
        <f>'Quarterly Data'!K14/'Quarterly Data'!B14</f>
        <v>2.5607834308869877E-2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zoomScaleNormal="100" workbookViewId="0">
      <selection activeCell="B8" sqref="B8"/>
    </sheetView>
  </sheetViews>
  <sheetFormatPr baseColWidth="10" defaultColWidth="8.6640625" defaultRowHeight="15" x14ac:dyDescent="0.2"/>
  <cols>
    <col min="1" max="1" width="14" customWidth="1"/>
    <col min="2" max="2" width="13" customWidth="1"/>
    <col min="3" max="3" width="3" customWidth="1"/>
    <col min="4" max="4" width="32" customWidth="1"/>
    <col min="5" max="5" width="14" customWidth="1"/>
  </cols>
  <sheetData>
    <row r="1" spans="1:8" ht="16" x14ac:dyDescent="0.2">
      <c r="A1" s="10" t="s">
        <v>28</v>
      </c>
    </row>
    <row r="3" spans="1:8" x14ac:dyDescent="0.2">
      <c r="A3" s="11" t="s">
        <v>29</v>
      </c>
      <c r="B3" s="11" t="s">
        <v>1</v>
      </c>
      <c r="D3" s="11" t="s">
        <v>30</v>
      </c>
      <c r="E3" s="11" t="s">
        <v>31</v>
      </c>
    </row>
    <row r="4" spans="1:8" x14ac:dyDescent="0.2">
      <c r="A4" s="7">
        <v>1</v>
      </c>
      <c r="B4" s="8">
        <f>'Quarterly Data'!B2</f>
        <v>128.77000000000001</v>
      </c>
      <c r="D4" s="7" t="s">
        <v>32</v>
      </c>
      <c r="E4" s="8">
        <f>SLOPE(B4:B16,A4:A16)</f>
        <v>3.2385714285714289</v>
      </c>
    </row>
    <row r="5" spans="1:8" x14ac:dyDescent="0.2">
      <c r="A5" s="7">
        <v>2</v>
      </c>
      <c r="B5" s="8">
        <f>'Quarterly Data'!B3</f>
        <v>124.02</v>
      </c>
      <c r="D5" s="7" t="s">
        <v>33</v>
      </c>
      <c r="E5" s="8">
        <f>INTERCEPT(B4:B16,A4:A16)</f>
        <v>118.71307692307694</v>
      </c>
    </row>
    <row r="6" spans="1:8" x14ac:dyDescent="0.2">
      <c r="A6" s="7">
        <v>3</v>
      </c>
      <c r="B6" s="8">
        <f>'Quarterly Data'!B4</f>
        <v>124.05</v>
      </c>
      <c r="D6" s="7" t="s">
        <v>34</v>
      </c>
      <c r="E6" s="12">
        <f>RSQ(B4:B16,A4:A16)</f>
        <v>0.62003416534936606</v>
      </c>
    </row>
    <row r="7" spans="1:8" x14ac:dyDescent="0.2">
      <c r="A7" s="7">
        <v>4</v>
      </c>
      <c r="B7" s="8">
        <f>'Quarterly Data'!B5</f>
        <v>126.54</v>
      </c>
      <c r="D7" s="7" t="s">
        <v>35</v>
      </c>
      <c r="E7" s="12">
        <f>CORREL(B4:B16,A4:A16)</f>
        <v>0.78742248212085353</v>
      </c>
    </row>
    <row r="8" spans="1:8" x14ac:dyDescent="0.2">
      <c r="A8" s="7">
        <v>5</v>
      </c>
      <c r="B8" s="8">
        <f>'Quarterly Data'!B6</f>
        <v>140.22999999999999</v>
      </c>
      <c r="D8" s="7" t="s">
        <v>36</v>
      </c>
      <c r="E8" s="8">
        <f>FORECAST(A16+1,B4:B16,A4:A16)</f>
        <v>164.05307692307696</v>
      </c>
    </row>
    <row r="9" spans="1:8" x14ac:dyDescent="0.2">
      <c r="A9" s="7">
        <v>6</v>
      </c>
      <c r="B9" s="8">
        <f>'Quarterly Data'!B7</f>
        <v>143.44999999999999</v>
      </c>
    </row>
    <row r="10" spans="1:8" x14ac:dyDescent="0.2">
      <c r="A10" s="7">
        <v>7</v>
      </c>
      <c r="B10" s="8">
        <f>'Quarterly Data'!B8</f>
        <v>131.85</v>
      </c>
      <c r="D10" s="13" t="s">
        <v>37</v>
      </c>
      <c r="E10" s="1"/>
      <c r="F10" s="1"/>
      <c r="G10" s="1"/>
      <c r="H10" s="1"/>
    </row>
    <row r="11" spans="1:8" x14ac:dyDescent="0.2">
      <c r="A11" s="7">
        <v>8</v>
      </c>
      <c r="B11" s="8">
        <f>'Quarterly Data'!B9</f>
        <v>137.01</v>
      </c>
    </row>
    <row r="12" spans="1:8" x14ac:dyDescent="0.2">
      <c r="A12" s="7">
        <v>9</v>
      </c>
      <c r="B12" s="8">
        <f>'Quarterly Data'!B10</f>
        <v>162.69999999999999</v>
      </c>
    </row>
    <row r="13" spans="1:8" x14ac:dyDescent="0.2">
      <c r="A13" s="7">
        <v>10</v>
      </c>
      <c r="B13" s="8">
        <f>'Quarterly Data'!B11</f>
        <v>155.65</v>
      </c>
    </row>
    <row r="14" spans="1:8" x14ac:dyDescent="0.2">
      <c r="A14" s="7">
        <v>11</v>
      </c>
      <c r="B14" s="8">
        <f>'Quarterly Data'!B12</f>
        <v>143.72</v>
      </c>
    </row>
    <row r="15" spans="1:8" x14ac:dyDescent="0.2">
      <c r="A15" s="7">
        <v>12</v>
      </c>
      <c r="B15" s="8">
        <f>'Quarterly Data'!B13</f>
        <v>142.31</v>
      </c>
    </row>
    <row r="16" spans="1:8" x14ac:dyDescent="0.2">
      <c r="A16" s="7">
        <v>13</v>
      </c>
      <c r="B16" s="8">
        <f>'Quarterly Data'!B14</f>
        <v>177.68</v>
      </c>
    </row>
  </sheetData>
  <mergeCells count="1">
    <mergeCell ref="D10:H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Quarterly Data</vt:lpstr>
      <vt:lpstr>Growth Analysis</vt:lpstr>
      <vt:lpstr>Regression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JOHAR, SHREYA (PGT)</cp:lastModifiedBy>
  <cp:revision>1</cp:revision>
  <dcterms:created xsi:type="dcterms:W3CDTF">2026-09-22T15:31:13Z</dcterms:created>
  <dcterms:modified xsi:type="dcterms:W3CDTF">2026-09-22T17:12:05Z</dcterms:modified>
  <dc:language>en-US</dc:language>
</cp:coreProperties>
</file>